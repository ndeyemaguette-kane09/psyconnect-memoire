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US" sheetId="2" state="visible" r:id="rId4"/>
    <sheet name="Tâches" sheetId="3" state="visible" r:id="rId5"/>
    <sheet name="Problèm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<sst xmlns="http://schemas.openxmlformats.org/spreadsheetml/2006/main" count="119" uniqueCount="85">
  <si>
    <t xml:space="preserve">PsyConnect — Résultats du test d'utilisabilité</t>
  </si>
  <si>
    <t xml:space="preserve">Comment remplir ce classeur</t>
  </si>
  <si>
    <t xml:space="preserve">• Seules les cellules jaune pâle sont à remplir. Tout le reste se calcule tout seul.</t>
  </si>
  <si>
    <t xml:space="preserve">• Onglet SUS : une ligne par participant, les réponses 1 à 5 recopiées depuis le questionnaire papier.</t>
  </si>
  <si>
    <t xml:space="preserve">• Onglet Tâches : 2 = réussie sans aide, 1 = réussie avec aide, 0 = échec ; puis le temps en minutes.</t>
  </si>
  <si>
    <t xml:space="preserve">• Onglet Problèmes : un problème observé par ligne.</t>
  </si>
  <si>
    <t xml:space="preserve">• La ligne grise « Exemple » montre le format attendu ; elle n'entre dans aucun calcul.</t>
  </si>
  <si>
    <t xml:space="preserve">Calcul du score SUS (Brooke, 1996)</t>
  </si>
  <si>
    <t xml:space="preserve">• Questions impaires (1, 3, 5, 7, 9) : réponse − 1. Questions paires (2, 4, 6, 8, 10) : 5 − réponse.</t>
  </si>
  <si>
    <t xml:space="preserve">• On additionne les dix valeurs et on multiplie par 2,5 : score sur 100.</t>
  </si>
  <si>
    <t xml:space="preserve">• Le score n'est calculé que si les dix réponses sont remplies.</t>
  </si>
  <si>
    <t xml:space="preserve">Interprétation (échelle de Bangor, Kortum et Miller, 2009)</t>
  </si>
  <si>
    <t xml:space="preserve">• Moins de 51 : insuffisant · 51 à 68 : passable · 68 à 80,3 : bon · plus de 80,3 : excellent.</t>
  </si>
  <si>
    <t xml:space="preserve">• 68 correspond à la moyenne observée sur des centaines d'études : c'est le seuil à dépasser.</t>
  </si>
  <si>
    <t xml:space="preserve">Questionnaire SUS — réponses et scores</t>
  </si>
  <si>
    <t xml:space="preserve">Participant</t>
  </si>
  <si>
    <t xml:space="preserve">Profil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</si>
  <si>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</si>
  <si>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</si>
  <si>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</si>
  <si>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</si>
  <si>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</si>
  <si>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</si>
  <si>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</si>
  <si>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</si>
  <si>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</si>
  <si>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</si>
  <si>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Score SUS</t>
  </si>
  <si>
    <t xml:space="preserve">Appréciation</t>
  </si>
  <si>
    <t xml:space="preserve">Exemple</t>
  </si>
  <si>
    <t xml:space="preserve">patient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</si>
  <si>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</si>
  <si>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</si>
  <si>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</si>
  <si>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</si>
  <si>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</si>
  <si>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</si>
  <si>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</si>
  <si>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</si>
  <si>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</si>
  <si>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</si>
  <si>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Participants ayant tout rempli</t>
  </si>
  <si>
    <t xml:space="preserve">Score SUS moyen</t>
  </si>
  <si>
    <t xml:space="preserve">Score minimum</t>
  </si>
  <si>
    <t xml:space="preserve">Score maximum</t>
  </si>
  <si>
    <t xml:space="preserve">Écart-type</t>
  </si>
  <si>
    <t xml:space="preserve">Appréciation de la moyenne</t>
  </si>
  <si>
    <t xml:space="preserve">Réussite des tâches</t>
  </si>
  <si>
    <t xml:space="preserve">2 = réussie sans aide · 1 = réussie avec aide · 0 = échec ou abandon</t>
  </si>
  <si>
    <t xml:space="preserve">Résultat par tâche</t>
  </si>
  <si>
    <t xml:space="preserve">Les tâches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</si>
  <si>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</si>
  <si>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</si>
  <si>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</si>
  <si>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</si>
  <si>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</si>
  <si>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</si>
  <si>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</si>
  <si>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</si>
  <si>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</si>
  <si>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 Créer un compte (mode anonyme)</t>
  </si>
  <si>
    <t xml:space="preserve">T2 Trouver un psychologue</t>
  </si>
  <si>
    <t xml:space="preserve">T3 Demander un rendez-vous</t>
  </si>
  <si>
    <t xml:space="preserve">T4 Recharger et payer</t>
  </si>
  <si>
    <t xml:space="preserve">T5 Noter son humeur</t>
  </si>
  <si>
    <t xml:space="preserve">T6 Répondre au questionnaire</t>
  </si>
  <si>
    <t xml:space="preserve">T7 Questionner Xalaat</t>
  </si>
  <si>
    <t xml:space="preserve">T8 Annuler et vérifier le remboursement</t>
  </si>
  <si>
    <t xml:space="preserve">T9 Trouver les numéros d'urgence</t>
  </si>
  <si>
    <t xml:space="preserve">Réussite sans aide</t>
  </si>
  <si>
    <t xml:space="preserve">Réussite avec ou sans aide</t>
  </si>
  <si>
    <t xml:space="preserve">Nombre d'échecs</t>
  </si>
  <si>
    <t xml:space="preserve">Temps par tâche (minutes)</t>
  </si>
  <si>
    <t xml:space="preserve">Temps moyen</t>
  </si>
  <si>
    <t xml:space="preserve">Problèmes observés</t>
  </si>
  <si>
    <t xml:space="preserve">Gravité : 1 = gêne mineure · 2 = ralentit nettement · 3 = bloque la tâche</t>
  </si>
  <si>
    <t xml:space="preserve">N°</t>
  </si>
  <si>
    <t xml:space="preserve">Tâche</t>
  </si>
  <si>
    <t xml:space="preserve">Description du problème</t>
  </si>
  <si>
    <t xml:space="preserve">Participants concernés</t>
  </si>
  <si>
    <t xml:space="preserve">Gravité (1-3)</t>
  </si>
  <si>
    <t xml:space="preserve">Correction envisagée</t>
  </si>
  <si>
    <t xml:space="preserve">Ex.</t>
  </si>
  <si>
    <t xml:space="preserve">Le bouton de recharge n'est pas trouvé depuis l'écran de paiement</t>
  </si>
  <si>
    <t xml:space="preserve">Ajouter un lien « Recharger » sous le solde insuffisant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</si>
</sst>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B4C4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B4C4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2B4C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4C43"/>
        <bgColor rgb="FF333300"/>
      </patternFill>
    </fill>
    <fill>
      <patternFill patternType="solid">
        <fgColor rgb="FFEEEEEE"/>
        <bgColor rgb="FFEAF2EE"/>
      </patternFill>
    </fill>
    <fill>
      <patternFill patternType="solid">
        <fgColor rgb="FFFFF8E1"/>
        <bgColor rgb="FFFFFFFF"/>
      </patternFill>
    </fill>
    <fill>
      <patternFill patternType="solid">
        <fgColor rgb="FFEAF2EE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B3AA"/>
      </left>
      <right style="thin">
        <color rgb="FF9DB3AA"/>
      </right>
      <top style="thin">
        <color rgb="FF9DB3AA"/>
      </top>
      <bottom style="thin">
        <color rgb="FF9DB3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3AA"/>
      <rgbColor rgb="FF777777"/>
      <rgbColor rgb="FF9999FF"/>
      <rgbColor rgb="FF993366"/>
      <rgbColor rgb="FFFFF8E1"/>
      <rgbColor rgb="FFEAF2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4C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12" min="3" style="0" width="6"/>
    <col collapsed="false" customWidth="true" hidden="false" outlineLevel="0" max="13" min="13" style="0" width="11"/>
    <col collapsed="false" customWidth="true" hidden="false" outlineLevel="0" max="14" min="14" style="0" width="13"/>
  </cols>
  <sheetData>
    <row r="1" customFormat="false" ht="16.15" hidden="false" customHeight="false" outlineLevel="0" collapsed="false">
      <c r="A1" s="1" t="s">
        <v>14</v>
      </c>
    </row>
    <row r="3" customFormat="false" ht="27.75" hidden="false" customHeight="tru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customFormat="false" ht="15" hidden="false" customHeight="false" outlineLevel="0" collapsed="false">
      <c r="A4" s="5" t="s">
        <v>29</v>
      </c>
      <c r="B4" s="5" t="s">
        <v>30</v>
      </c>
      <c r="C4" s="5" t="n">
        <v>4</v>
      </c>
      <c r="D4" s="5" t="n">
        <v>2</v>
      </c>
      <c r="E4" s="5" t="n">
        <v>4</v>
      </c>
      <c r="F4" s="5" t="n">
        <v>1</v>
      </c>
      <c r="G4" s="5" t="n">
        <v>4</v>
      </c>
      <c r="H4" s="5" t="n">
        <v>2</v>
      </c>
      <c r="I4" s="5" t="n">
        <v>5</v>
      </c>
      <c r="J4" s="5" t="n">
        <v>1</v>
      </c>
      <c r="K4" s="5" t="n">
        <v>4</v>
      </c>
      <c r="L4" s="5" t="n">
        <v>2</v>
      </c>
      <c r="M4" s="6" t="n">
        <f aca="false">IF(COUNT(C4:L4)=10,((C4-1)+(5-D4)+(E4-1)+(5-F4)+(G4-1)+(5-H4)+(I4-1)+(5-J4)+(K4-1)+(5-L4))*2.5,"")</f>
        <v>82.5</v>
      </c>
      <c r="N4" s="5" t="str">
        <f aca="false">IF(M4="","",IF(M4&gt;80.3,"Excellent",IF(M4&gt;=68,"Bon",IF(M4&gt;=51,"Passable","Insuffisant"))))</f>
        <v>Excellent</v>
      </c>
    </row>
    <row r="5" customFormat="false" ht="15" hidden="false" customHeight="false" outlineLevel="0" collapsed="false">
      <c r="M5" s="7"/>
    </row>
    <row r="6" customFormat="false" ht="15" hidden="false" customHeight="false" outlineLevel="0" collapsed="false">
      <c r="A6" s="8" t="s">
        <v>31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 t="str">
        <f aca="false">IF(COUNT(C6:L6)=10,((C6-1)+(5-D6)+(E6-1)+(5-F6)+(G6-1)+(5-H6)+(I6-1)+(5-J6)+(K6-1)+(5-L6))*2.5,"")</f>
        <v/>
      </c>
      <c r="N6" s="8" t="str">
        <f aca="false">IF(M6="","",IF(M6&gt;80.3,"Excellent",IF(M6&gt;=68,"Bon",IF(M6&gt;=51,"Passable","Insuffisant"))))</f>
        <v/>
      </c>
    </row>
    <row r="7" customFormat="false" ht="15" hidden="false" customHeight="false" outlineLevel="0" collapsed="false">
      <c r="A7" s="8" t="s">
        <v>32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 t="str">
        <f aca="false">IF(COUNT(C7:L7)=10,((C7-1)+(5-D7)+(E7-1)+(5-F7)+(G7-1)+(5-H7)+(I7-1)+(5-J7)+(K7-1)+(5-L7))*2.5,"")</f>
        <v/>
      </c>
      <c r="N7" s="8" t="str">
        <f aca="false">IF(M7="","",IF(M7&gt;80.3,"Excellent",IF(M7&gt;=68,"Bon",IF(M7&gt;=51,"Passable","Insuffisant"))))</f>
        <v/>
      </c>
    </row>
    <row r="8" customFormat="false" ht="15" hidden="false" customHeight="false" outlineLevel="0" collapsed="false">
      <c r="A8" s="8" t="s">
        <v>33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 t="str">
        <f aca="false">IF(COUNT(C8:L8)=10,((C8-1)+(5-D8)+(E8-1)+(5-F8)+(G8-1)+(5-H8)+(I8-1)+(5-J8)+(K8-1)+(5-L8))*2.5,"")</f>
        <v/>
      </c>
      <c r="N8" s="8" t="str">
        <f aca="false">IF(M8="","",IF(M8&gt;80.3,"Excellent",IF(M8&gt;=68,"Bon",IF(M8&gt;=51,"Passable","Insuffisant"))))</f>
        <v/>
      </c>
    </row>
    <row r="9" customFormat="false" ht="15" hidden="false" customHeight="false" outlineLevel="0" collapsed="false">
      <c r="A9" s="8" t="s">
        <v>34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 t="str">
        <f aca="false">IF(COUNT(C9:L9)=10,((C9-1)+(5-D9)+(E9-1)+(5-F9)+(G9-1)+(5-H9)+(I9-1)+(5-J9)+(K9-1)+(5-L9))*2.5,"")</f>
        <v/>
      </c>
      <c r="N9" s="8" t="str">
        <f aca="false">IF(M9="","",IF(M9&gt;80.3,"Excellent",IF(M9&gt;=68,"Bon",IF(M9&gt;=51,"Passable","Insuffisant"))))</f>
        <v/>
      </c>
    </row>
    <row r="10" customFormat="false" ht="15" hidden="false" customHeight="false" outlineLevel="0" collapsed="false">
      <c r="A10" s="8" t="s">
        <v>35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 t="str">
        <f aca="false">IF(COUNT(C10:L10)=10,((C10-1)+(5-D10)+(E10-1)+(5-F10)+(G10-1)+(5-H10)+(I10-1)+(5-J10)+(K10-1)+(5-L10))*2.5,"")</f>
        <v/>
      </c>
      <c r="N10" s="8" t="str">
        <f aca="false">IF(M10="","",IF(M10&gt;80.3,"Excellent",IF(M10&gt;=68,"Bon",IF(M10&gt;=51,"Passable","Insuffisant"))))</f>
        <v/>
      </c>
    </row>
    <row r="11" customFormat="false" ht="15" hidden="false" customHeight="false" outlineLevel="0" collapsed="false">
      <c r="A11" s="8" t="s">
        <v>36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 t="str">
        <f aca="false">IF(COUNT(C11:L11)=10,((C11-1)+(5-D11)+(E11-1)+(5-F11)+(G11-1)+(5-H11)+(I11-1)+(5-J11)+(K11-1)+(5-L11))*2.5,"")</f>
        <v/>
      </c>
      <c r="N11" s="8" t="str">
        <f aca="false">IF(M11="","",IF(M11&gt;80.3,"Excellent",IF(M11&gt;=68,"Bon",IF(M11&gt;=51,"Passable","Insuffisant"))))</f>
        <v/>
      </c>
    </row>
    <row r="12" customFormat="false" ht="15" hidden="false" customHeight="false" outlineLevel="0" collapsed="false">
      <c r="A12" s="8" t="s">
        <v>37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 t="str">
        <f aca="false">IF(COUNT(C12:L12)=10,((C12-1)+(5-D12)+(E12-1)+(5-F12)+(G12-1)+(5-H12)+(I12-1)+(5-J12)+(K12-1)+(5-L12))*2.5,"")</f>
        <v/>
      </c>
      <c r="N12" s="8" t="str">
        <f aca="false">IF(M12="","",IF(M12&gt;80.3,"Excellent",IF(M12&gt;=68,"Bon",IF(M12&gt;=51,"Passable","Insuffisant"))))</f>
        <v/>
      </c>
    </row>
    <row r="13" customFormat="false" ht="15" hidden="false" customHeight="false" outlineLevel="0" collapsed="false">
      <c r="A13" s="8" t="s">
        <v>38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 t="str">
        <f aca="false">IF(COUNT(C13:L13)=10,((C13-1)+(5-D13)+(E13-1)+(5-F13)+(G13-1)+(5-H13)+(I13-1)+(5-J13)+(K13-1)+(5-L13))*2.5,"")</f>
        <v/>
      </c>
      <c r="N13" s="8" t="str">
        <f aca="false">IF(M13="","",IF(M13&gt;80.3,"Excellent",IF(M13&gt;=68,"Bon",IF(M13&gt;=51,"Passable","Insuffisant"))))</f>
        <v/>
      </c>
    </row>
    <row r="14" customFormat="false" ht="15" hidden="false" customHeight="false" outlineLevel="0" collapsed="false">
      <c r="A14" s="8" t="s">
        <v>39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0" t="str">
        <f aca="false">IF(COUNT(C14:L14)=10,((C14-1)+(5-D14)+(E14-1)+(5-F14)+(G14-1)+(5-H14)+(I14-1)+(5-J14)+(K14-1)+(5-L14))*2.5,"")</f>
        <v/>
      </c>
      <c r="N14" s="8" t="str">
        <f aca="false">IF(M14="","",IF(M14&gt;80.3,"Excellent",IF(M14&gt;=68,"Bon",IF(M14&gt;=51,"Passable","Insuffisant"))))</f>
        <v/>
      </c>
    </row>
    <row r="15" customFormat="false" ht="15" hidden="false" customHeight="false" outlineLevel="0" collapsed="false">
      <c r="A15" s="8" t="s">
        <v>40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 t="str">
        <f aca="false">IF(COUNT(C15:L15)=10,((C15-1)+(5-D15)+(E15-1)+(5-F15)+(G15-1)+(5-H15)+(I15-1)+(5-J15)+(K15-1)+(5-L15))*2.5,"")</f>
        <v/>
      </c>
      <c r="N15" s="8" t="str">
        <f aca="false">IF(M15="","",IF(M15&gt;80.3,"Excellent",IF(M15&gt;=68,"Bon",IF(M15&gt;=51,"Passable","Insuffisant"))))</f>
        <v/>
      </c>
    </row>
    <row r="18" customFormat="false" ht="15" hidden="false" customHeight="false" outlineLevel="0" collapsed="false">
      <c r="J18" s="11" t="s">
        <v>41</v>
      </c>
      <c r="K18" s="11"/>
      <c r="L18" s="11"/>
      <c r="M18" s="12" t="n">
        <f aca="false">COUNT(M6:M15)</f>
        <v>0</v>
      </c>
    </row>
    <row r="19" customFormat="false" ht="15" hidden="false" customHeight="false" outlineLevel="0" collapsed="false">
      <c r="J19" s="11" t="s">
        <v>42</v>
      </c>
      <c r="K19" s="11"/>
      <c r="L19" s="11"/>
      <c r="M19" s="13" t="str">
        <f aca="false">IFERROR(AVERAGE(M6:M15),"")</f>
        <v/>
      </c>
    </row>
    <row r="20" customFormat="false" ht="15" hidden="false" customHeight="false" outlineLevel="0" collapsed="false">
      <c r="J20" s="11" t="s">
        <v>43</v>
      </c>
      <c r="K20" s="11"/>
      <c r="L20" s="11"/>
      <c r="M20" s="13" t="str">
        <f aca="false">IF(COUNT(M6:M15)=0,"",MIN(M6:M15))</f>
        <v/>
      </c>
    </row>
    <row r="21" customFormat="false" ht="15" hidden="false" customHeight="false" outlineLevel="0" collapsed="false">
      <c r="J21" s="11" t="s">
        <v>44</v>
      </c>
      <c r="K21" s="11"/>
      <c r="L21" s="11"/>
      <c r="M21" s="13" t="str">
        <f aca="false">IF(COUNT(M6:M15)=0,"",MAX(M6:M15))</f>
        <v/>
      </c>
    </row>
    <row r="22" customFormat="false" ht="15" hidden="false" customHeight="false" outlineLevel="0" collapsed="false">
      <c r="J22" s="11" t="s">
        <v>45</v>
      </c>
      <c r="K22" s="11"/>
      <c r="L22" s="11"/>
      <c r="M22" s="13" t="str">
        <f aca="false">IF(COUNT(M6:M15)&lt;2,"",STDEV(M6:M15))</f>
        <v/>
      </c>
    </row>
    <row r="23" customFormat="false" ht="15" hidden="false" customHeight="false" outlineLevel="0" collapsed="false">
      <c r="J23" s="11" t="s">
        <v>46</v>
      </c>
      <c r="K23" s="11"/>
      <c r="L23" s="11"/>
      <c r="M23" s="14" t="str">
        <f aca="false">IF(M19="","",IF(M19&gt;80.3,"Excellent",IF(M19&gt;=68,"Bon",IF(M19&gt;=51,"Passable","Insuffisant"))))</f>
        <v/>
      </c>
    </row>
  </sheetData>
  <mergeCells count="6">
    <mergeCell ref="J18:L18"/>
    <mergeCell ref="J19:L19"/>
    <mergeCell ref="J20:L20"/>
    <mergeCell ref="J21:L21"/>
    <mergeCell ref="J22:L22"/>
    <mergeCell ref="J23:L23"/>
  </mergeCells>
  <dataValidations count="2">
    <dataValidation allowBlank="false" error="Entrez un chiffre de 1 à 5." errorStyle="stop" errorTitle="Valeur invalide" operator="between" showDropDown="false" showErrorMessage="true" showInputMessage="false" sqref="C6:L15" type="whole">
      <formula1>1</formula1>
      <formula2>5</formula2>
    </dataValidation>
    <dataValidation allowBlank="true" errorStyle="stop" operator="between" showDropDown="false" showErrorMessage="false" showInputMessage="false" sqref="B6:B15" type="list">
      <formula1>"patient,psychologue"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8"/>
    <col collapsed="false" customWidth="true" hidden="false" outlineLevel="0" max="12" min="12" style="0" width="38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15" t="s">
        <v>48</v>
      </c>
    </row>
    <row r="4" customFormat="false" ht="15" hidden="false" customHeight="false" outlineLevel="0" collapsed="false">
      <c r="A4" s="16" t="s">
        <v>49</v>
      </c>
      <c r="L4" s="3" t="s">
        <v>50</v>
      </c>
    </row>
    <row r="5" customFormat="false" ht="15" hidden="false" customHeight="false" outlineLevel="0" collapsed="false">
      <c r="A5" s="4" t="s">
        <v>15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L5" s="17" t="s">
        <v>60</v>
      </c>
    </row>
    <row r="6" customFormat="false" ht="15" hidden="false" customHeight="false" outlineLevel="0" collapsed="false">
      <c r="A6" s="5" t="s">
        <v>29</v>
      </c>
      <c r="B6" s="5" t="n">
        <v>2</v>
      </c>
      <c r="C6" s="5" t="n">
        <v>2</v>
      </c>
      <c r="D6" s="5" t="n">
        <v>1</v>
      </c>
      <c r="E6" s="5" t="n">
        <v>2</v>
      </c>
      <c r="F6" s="5" t="n">
        <v>2</v>
      </c>
      <c r="G6" s="5" t="n">
        <v>0</v>
      </c>
      <c r="H6" s="5" t="n">
        <v>2</v>
      </c>
      <c r="I6" s="5" t="n">
        <v>1</v>
      </c>
      <c r="J6" s="5" t="n">
        <v>2</v>
      </c>
      <c r="L6" s="17" t="s">
        <v>61</v>
      </c>
    </row>
    <row r="7" customFormat="false" ht="15" hidden="false" customHeight="false" outlineLevel="0" collapsed="false">
      <c r="A7" s="8" t="s">
        <v>31</v>
      </c>
      <c r="B7" s="18"/>
      <c r="C7" s="18"/>
      <c r="D7" s="18"/>
      <c r="E7" s="18"/>
      <c r="F7" s="18"/>
      <c r="G7" s="18"/>
      <c r="H7" s="18"/>
      <c r="I7" s="18"/>
      <c r="J7" s="18"/>
      <c r="L7" s="17" t="s">
        <v>62</v>
      </c>
    </row>
    <row r="8" customFormat="false" ht="15" hidden="false" customHeight="false" outlineLevel="0" collapsed="false">
      <c r="A8" s="8" t="s">
        <v>32</v>
      </c>
      <c r="B8" s="18"/>
      <c r="C8" s="18"/>
      <c r="D8" s="18"/>
      <c r="E8" s="18"/>
      <c r="F8" s="18"/>
      <c r="G8" s="18"/>
      <c r="H8" s="18"/>
      <c r="I8" s="18"/>
      <c r="J8" s="18"/>
      <c r="L8" s="17" t="s">
        <v>63</v>
      </c>
    </row>
    <row r="9" customFormat="false" ht="15" hidden="false" customHeight="false" outlineLevel="0" collapsed="false">
      <c r="A9" s="8" t="s">
        <v>33</v>
      </c>
      <c r="B9" s="18"/>
      <c r="C9" s="18"/>
      <c r="D9" s="18"/>
      <c r="E9" s="18"/>
      <c r="F9" s="18"/>
      <c r="G9" s="18"/>
      <c r="H9" s="18"/>
      <c r="I9" s="18"/>
      <c r="J9" s="18"/>
      <c r="L9" s="17" t="s">
        <v>64</v>
      </c>
    </row>
    <row r="10" customFormat="false" ht="15" hidden="false" customHeight="false" outlineLevel="0" collapsed="false">
      <c r="A10" s="8" t="s">
        <v>34</v>
      </c>
      <c r="B10" s="18"/>
      <c r="C10" s="18"/>
      <c r="D10" s="18"/>
      <c r="E10" s="18"/>
      <c r="F10" s="18"/>
      <c r="G10" s="18"/>
      <c r="H10" s="18"/>
      <c r="I10" s="18"/>
      <c r="J10" s="18"/>
      <c r="L10" s="17" t="s">
        <v>65</v>
      </c>
    </row>
    <row r="11" customFormat="false" ht="15" hidden="false" customHeight="false" outlineLevel="0" collapsed="false">
      <c r="A11" s="8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L11" s="17" t="s">
        <v>66</v>
      </c>
    </row>
    <row r="12" customFormat="false" ht="15" hidden="false" customHeight="false" outlineLevel="0" collapsed="false">
      <c r="A12" s="8" t="s">
        <v>36</v>
      </c>
      <c r="B12" s="18"/>
      <c r="C12" s="18"/>
      <c r="D12" s="18"/>
      <c r="E12" s="18"/>
      <c r="F12" s="18"/>
      <c r="G12" s="18"/>
      <c r="H12" s="18"/>
      <c r="I12" s="18"/>
      <c r="J12" s="18"/>
      <c r="L12" s="17" t="s">
        <v>67</v>
      </c>
    </row>
    <row r="13" customFormat="false" ht="15" hidden="false" customHeight="false" outlineLevel="0" collapsed="false">
      <c r="A13" s="8" t="s">
        <v>37</v>
      </c>
      <c r="B13" s="18"/>
      <c r="C13" s="18"/>
      <c r="D13" s="18"/>
      <c r="E13" s="18"/>
      <c r="F13" s="18"/>
      <c r="G13" s="18"/>
      <c r="H13" s="18"/>
      <c r="I13" s="18"/>
      <c r="J13" s="18"/>
      <c r="L13" s="17" t="s">
        <v>68</v>
      </c>
    </row>
    <row r="14" customFormat="false" ht="15" hidden="false" customHeight="false" outlineLevel="0" collapsed="false">
      <c r="A14" s="8" t="s">
        <v>38</v>
      </c>
      <c r="B14" s="18"/>
      <c r="C14" s="18"/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A15" s="8" t="s">
        <v>39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s">
        <v>40</v>
      </c>
      <c r="B16" s="18"/>
      <c r="C16" s="18"/>
      <c r="D16" s="18"/>
      <c r="E16" s="18"/>
      <c r="F16" s="18"/>
      <c r="G16" s="18"/>
      <c r="H16" s="18"/>
      <c r="I16" s="18"/>
      <c r="J16" s="18"/>
    </row>
    <row r="18" customFormat="false" ht="15" hidden="false" customHeight="false" outlineLevel="0" collapsed="false">
      <c r="A18" s="19" t="s">
        <v>69</v>
      </c>
      <c r="B18" s="20" t="str">
        <f aca="false">IFERROR(COUNTIF(B7:B16,2)/COUNT(B7:B16),"")</f>
        <v/>
      </c>
      <c r="C18" s="20" t="str">
        <f aca="false">IFERROR(COUNTIF(C7:C16,2)/COUNT(C7:C16),"")</f>
        <v/>
      </c>
      <c r="D18" s="20" t="str">
        <f aca="false">IFERROR(COUNTIF(D7:D16,2)/COUNT(D7:D16),"")</f>
        <v/>
      </c>
      <c r="E18" s="20" t="str">
        <f aca="false">IFERROR(COUNTIF(E7:E16,2)/COUNT(E7:E16),"")</f>
        <v/>
      </c>
      <c r="F18" s="20" t="str">
        <f aca="false">IFERROR(COUNTIF(F7:F16,2)/COUNT(F7:F16),"")</f>
        <v/>
      </c>
      <c r="G18" s="20" t="str">
        <f aca="false">IFERROR(COUNTIF(G7:G16,2)/COUNT(G7:G16),"")</f>
        <v/>
      </c>
      <c r="H18" s="20" t="str">
        <f aca="false">IFERROR(COUNTIF(H7:H16,2)/COUNT(H7:H16),"")</f>
        <v/>
      </c>
      <c r="I18" s="20" t="str">
        <f aca="false">IFERROR(COUNTIF(I7:I16,2)/COUNT(I7:I16),"")</f>
        <v/>
      </c>
      <c r="J18" s="20" t="str">
        <f aca="false">IFERROR(COUNTIF(J7:J16,2)/COUNT(J7:J16),"")</f>
        <v/>
      </c>
    </row>
    <row r="19" customFormat="false" ht="15" hidden="false" customHeight="false" outlineLevel="0" collapsed="false">
      <c r="A19" s="19" t="s">
        <v>70</v>
      </c>
      <c r="B19" s="20" t="str">
        <f aca="false">IFERROR((COUNTIF(B7:B16,2)+COUNTIF(B7:B16,1))/COUNT(B7:B16),"")</f>
        <v/>
      </c>
      <c r="C19" s="20" t="str">
        <f aca="false">IFERROR((COUNTIF(C7:C16,2)+COUNTIF(C7:C16,1))/COUNT(C7:C16),"")</f>
        <v/>
      </c>
      <c r="D19" s="20" t="str">
        <f aca="false">IFERROR((COUNTIF(D7:D16,2)+COUNTIF(D7:D16,1))/COUNT(D7:D16),"")</f>
        <v/>
      </c>
      <c r="E19" s="20" t="str">
        <f aca="false">IFERROR((COUNTIF(E7:E16,2)+COUNTIF(E7:E16,1))/COUNT(E7:E16),"")</f>
        <v/>
      </c>
      <c r="F19" s="20" t="str">
        <f aca="false">IFERROR((COUNTIF(F7:F16,2)+COUNTIF(F7:F16,1))/COUNT(F7:F16),"")</f>
        <v/>
      </c>
      <c r="G19" s="20" t="str">
        <f aca="false">IFERROR((COUNTIF(G7:G16,2)+COUNTIF(G7:G16,1))/COUNT(G7:G16),"")</f>
        <v/>
      </c>
      <c r="H19" s="20" t="str">
        <f aca="false">IFERROR((COUNTIF(H7:H16,2)+COUNTIF(H7:H16,1))/COUNT(H7:H16),"")</f>
        <v/>
      </c>
      <c r="I19" s="20" t="str">
        <f aca="false">IFERROR((COUNTIF(I7:I16,2)+COUNTIF(I7:I16,1))/COUNT(I7:I16),"")</f>
        <v/>
      </c>
      <c r="J19" s="20" t="str">
        <f aca="false">IFERROR((COUNTIF(J7:J16,2)+COUNTIF(J7:J16,1))/COUNT(J7:J16),"")</f>
        <v/>
      </c>
    </row>
    <row r="20" customFormat="false" ht="15" hidden="false" customHeight="false" outlineLevel="0" collapsed="false">
      <c r="A20" s="19" t="s">
        <v>71</v>
      </c>
      <c r="B20" s="21" t="n">
        <f aca="false">COUNTIF(B7:B16,0)</f>
        <v>0</v>
      </c>
      <c r="C20" s="21" t="n">
        <f aca="false">COUNTIF(C7:C16,0)</f>
        <v>0</v>
      </c>
      <c r="D20" s="21" t="n">
        <f aca="false">COUNTIF(D7:D16,0)</f>
        <v>0</v>
      </c>
      <c r="E20" s="21" t="n">
        <f aca="false">COUNTIF(E7:E16,0)</f>
        <v>0</v>
      </c>
      <c r="F20" s="21" t="n">
        <f aca="false">COUNTIF(F7:F16,0)</f>
        <v>0</v>
      </c>
      <c r="G20" s="21" t="n">
        <f aca="false">COUNTIF(G7:G16,0)</f>
        <v>0</v>
      </c>
      <c r="H20" s="21" t="n">
        <f aca="false">COUNTIF(H7:H16,0)</f>
        <v>0</v>
      </c>
      <c r="I20" s="21" t="n">
        <f aca="false">COUNTIF(I7:I16,0)</f>
        <v>0</v>
      </c>
      <c r="J20" s="21" t="n">
        <f aca="false">COUNTIF(J7:J16,0)</f>
        <v>0</v>
      </c>
    </row>
    <row r="23" customFormat="false" ht="15" hidden="false" customHeight="false" outlineLevel="0" collapsed="false">
      <c r="A23" s="16" t="s">
        <v>72</v>
      </c>
    </row>
    <row r="24" customFormat="false" ht="15" hidden="false" customHeight="false" outlineLevel="0" collapsed="false">
      <c r="A24" s="4" t="s">
        <v>15</v>
      </c>
      <c r="B24" s="4" t="s">
        <v>51</v>
      </c>
      <c r="C24" s="4" t="s">
        <v>52</v>
      </c>
      <c r="D24" s="4" t="s">
        <v>53</v>
      </c>
      <c r="E24" s="4" t="s">
        <v>54</v>
      </c>
      <c r="F24" s="4" t="s">
        <v>55</v>
      </c>
      <c r="G24" s="4" t="s">
        <v>56</v>
      </c>
      <c r="H24" s="4" t="s">
        <v>57</v>
      </c>
      <c r="I24" s="4" t="s">
        <v>58</v>
      </c>
      <c r="J24" s="4" t="s">
        <v>59</v>
      </c>
    </row>
    <row r="25" customFormat="false" ht="15" hidden="false" customHeight="false" outlineLevel="0" collapsed="false">
      <c r="A25" s="5" t="s">
        <v>29</v>
      </c>
      <c r="B25" s="5" t="n">
        <v>1.5</v>
      </c>
      <c r="C25" s="5" t="n">
        <v>2</v>
      </c>
      <c r="D25" s="5" t="n">
        <v>1.5</v>
      </c>
      <c r="E25" s="5" t="n">
        <v>2.5</v>
      </c>
      <c r="F25" s="5" t="n">
        <v>0.5</v>
      </c>
      <c r="G25" s="5" t="n">
        <v>3</v>
      </c>
      <c r="H25" s="5" t="n">
        <v>1</v>
      </c>
      <c r="I25" s="5" t="n">
        <v>1.5</v>
      </c>
      <c r="J25" s="5" t="n">
        <v>0.5</v>
      </c>
    </row>
    <row r="26" customFormat="false" ht="15" hidden="false" customHeight="false" outlineLevel="0" collapsed="false">
      <c r="A26" s="8" t="s">
        <v>31</v>
      </c>
      <c r="B26" s="22"/>
      <c r="C26" s="22"/>
      <c r="D26" s="22"/>
      <c r="E26" s="22"/>
      <c r="F26" s="22"/>
      <c r="G26" s="22"/>
      <c r="H26" s="22"/>
      <c r="I26" s="22"/>
      <c r="J26" s="22"/>
    </row>
    <row r="27" customFormat="false" ht="15" hidden="false" customHeight="false" outlineLevel="0" collapsed="false">
      <c r="A27" s="8" t="s">
        <v>32</v>
      </c>
      <c r="B27" s="22"/>
      <c r="C27" s="22"/>
      <c r="D27" s="22"/>
      <c r="E27" s="22"/>
      <c r="F27" s="22"/>
      <c r="G27" s="22"/>
      <c r="H27" s="22"/>
      <c r="I27" s="22"/>
      <c r="J27" s="22"/>
    </row>
    <row r="28" customFormat="false" ht="15" hidden="false" customHeight="false" outlineLevel="0" collapsed="false">
      <c r="A28" s="8" t="s">
        <v>33</v>
      </c>
      <c r="B28" s="22"/>
      <c r="C28" s="22"/>
      <c r="D28" s="22"/>
      <c r="E28" s="22"/>
      <c r="F28" s="22"/>
      <c r="G28" s="22"/>
      <c r="H28" s="22"/>
      <c r="I28" s="22"/>
      <c r="J28" s="22"/>
    </row>
    <row r="29" customFormat="false" ht="15" hidden="false" customHeight="false" outlineLevel="0" collapsed="false">
      <c r="A29" s="8" t="s">
        <v>34</v>
      </c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15" hidden="false" customHeight="false" outlineLevel="0" collapsed="false">
      <c r="A30" s="8" t="s">
        <v>35</v>
      </c>
      <c r="B30" s="22"/>
      <c r="C30" s="22"/>
      <c r="D30" s="22"/>
      <c r="E30" s="22"/>
      <c r="F30" s="22"/>
      <c r="G30" s="22"/>
      <c r="H30" s="22"/>
      <c r="I30" s="22"/>
      <c r="J30" s="22"/>
    </row>
    <row r="31" customFormat="false" ht="15" hidden="false" customHeight="false" outlineLevel="0" collapsed="false">
      <c r="A31" s="8" t="s">
        <v>36</v>
      </c>
      <c r="B31" s="22"/>
      <c r="C31" s="22"/>
      <c r="D31" s="22"/>
      <c r="E31" s="22"/>
      <c r="F31" s="22"/>
      <c r="G31" s="22"/>
      <c r="H31" s="22"/>
      <c r="I31" s="22"/>
      <c r="J31" s="22"/>
    </row>
    <row r="32" customFormat="false" ht="15" hidden="false" customHeight="false" outlineLevel="0" collapsed="false">
      <c r="A32" s="8" t="s">
        <v>37</v>
      </c>
      <c r="B32" s="22"/>
      <c r="C32" s="22"/>
      <c r="D32" s="22"/>
      <c r="E32" s="22"/>
      <c r="F32" s="22"/>
      <c r="G32" s="22"/>
      <c r="H32" s="22"/>
      <c r="I32" s="22"/>
      <c r="J32" s="22"/>
    </row>
    <row r="33" customFormat="false" ht="15" hidden="false" customHeight="false" outlineLevel="0" collapsed="false">
      <c r="A33" s="8" t="s">
        <v>38</v>
      </c>
      <c r="B33" s="22"/>
      <c r="C33" s="22"/>
      <c r="D33" s="22"/>
      <c r="E33" s="22"/>
      <c r="F33" s="22"/>
      <c r="G33" s="22"/>
      <c r="H33" s="22"/>
      <c r="I33" s="22"/>
      <c r="J33" s="22"/>
    </row>
    <row r="34" customFormat="false" ht="15" hidden="false" customHeight="false" outlineLevel="0" collapsed="false">
      <c r="A34" s="8" t="s">
        <v>39</v>
      </c>
      <c r="B34" s="22"/>
      <c r="C34" s="22"/>
      <c r="D34" s="22"/>
      <c r="E34" s="22"/>
      <c r="F34" s="22"/>
      <c r="G34" s="22"/>
      <c r="H34" s="22"/>
      <c r="I34" s="22"/>
      <c r="J34" s="22"/>
    </row>
    <row r="35" customFormat="false" ht="15" hidden="false" customHeight="false" outlineLevel="0" collapsed="false">
      <c r="A35" s="8" t="s">
        <v>40</v>
      </c>
      <c r="B35" s="22"/>
      <c r="C35" s="22"/>
      <c r="D35" s="22"/>
      <c r="E35" s="22"/>
      <c r="F35" s="22"/>
      <c r="G35" s="22"/>
      <c r="H35" s="22"/>
      <c r="I35" s="22"/>
      <c r="J35" s="22"/>
    </row>
    <row r="37" customFormat="false" ht="15" hidden="false" customHeight="false" outlineLevel="0" collapsed="false">
      <c r="A37" s="19" t="s">
        <v>73</v>
      </c>
      <c r="B37" s="23" t="str">
        <f aca="false">IFERROR(AVERAGE(B26:B35),"")</f>
        <v/>
      </c>
      <c r="C37" s="23" t="str">
        <f aca="false">IFERROR(AVERAGE(C26:C35),"")</f>
        <v/>
      </c>
      <c r="D37" s="23" t="str">
        <f aca="false">IFERROR(AVERAGE(D26:D35),"")</f>
        <v/>
      </c>
      <c r="E37" s="23" t="str">
        <f aca="false">IFERROR(AVERAGE(E26:E35),"")</f>
        <v/>
      </c>
      <c r="F37" s="23" t="str">
        <f aca="false">IFERROR(AVERAGE(F26:F35),"")</f>
        <v/>
      </c>
      <c r="G37" s="23" t="str">
        <f aca="false">IFERROR(AVERAGE(G26:G35),"")</f>
        <v/>
      </c>
      <c r="H37" s="23" t="str">
        <f aca="false">IFERROR(AVERAGE(H26:H35),"")</f>
        <v/>
      </c>
      <c r="I37" s="23" t="str">
        <f aca="false">IFERROR(AVERAGE(I26:I35),"")</f>
        <v/>
      </c>
      <c r="J37" s="23" t="str">
        <f aca="false">IFERROR(AVERAGE(J26:J35),"")</f>
        <v/>
      </c>
    </row>
  </sheetData>
  <dataValidations count="1">
    <dataValidation allowBlank="false" error="Entrez 0, 1 ou 2." errorStyle="stop" operator="between" showDropDown="false" showErrorMessage="true" showInputMessage="false" sqref="B7:J16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45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15" t="s">
        <v>75</v>
      </c>
    </row>
    <row r="4" customFormat="false" ht="30" hidden="false" customHeight="tru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</row>
    <row r="5" customFormat="false" ht="23.85" hidden="false" customHeight="false" outlineLevel="0" collapsed="false">
      <c r="A5" s="24" t="s">
        <v>82</v>
      </c>
      <c r="B5" s="24" t="s">
        <v>54</v>
      </c>
      <c r="C5" s="24" t="s">
        <v>83</v>
      </c>
      <c r="D5" s="24" t="n">
        <v>3</v>
      </c>
      <c r="E5" s="24" t="n">
        <v>2</v>
      </c>
      <c r="F5" s="24" t="s">
        <v>84</v>
      </c>
    </row>
    <row r="6" customFormat="false" ht="15" hidden="false" customHeight="false" outlineLevel="0" collapsed="false">
      <c r="A6" s="25" t="n">
        <v>1</v>
      </c>
      <c r="B6" s="26"/>
      <c r="C6" s="26"/>
      <c r="D6" s="26"/>
      <c r="E6" s="26"/>
      <c r="F6" s="26"/>
    </row>
    <row r="7" customFormat="false" ht="15" hidden="false" customHeight="false" outlineLevel="0" collapsed="false">
      <c r="A7" s="25" t="n">
        <v>2</v>
      </c>
      <c r="B7" s="26"/>
      <c r="C7" s="26"/>
      <c r="D7" s="26"/>
      <c r="E7" s="26"/>
      <c r="F7" s="26"/>
    </row>
    <row r="8" customFormat="false" ht="15" hidden="false" customHeight="false" outlineLevel="0" collapsed="false">
      <c r="A8" s="25" t="n">
        <v>3</v>
      </c>
      <c r="B8" s="26"/>
      <c r="C8" s="26"/>
      <c r="D8" s="26"/>
      <c r="E8" s="26"/>
      <c r="F8" s="26"/>
    </row>
    <row r="9" customFormat="false" ht="15" hidden="false" customHeight="false" outlineLevel="0" collapsed="false">
      <c r="A9" s="25" t="n">
        <v>4</v>
      </c>
      <c r="B9" s="26"/>
      <c r="C9" s="26"/>
      <c r="D9" s="26"/>
      <c r="E9" s="26"/>
      <c r="F9" s="26"/>
    </row>
    <row r="10" customFormat="false" ht="15" hidden="false" customHeight="false" outlineLevel="0" collapsed="false">
      <c r="A10" s="25" t="n">
        <v>5</v>
      </c>
      <c r="B10" s="26"/>
      <c r="C10" s="26"/>
      <c r="D10" s="26"/>
      <c r="E10" s="26"/>
      <c r="F10" s="26"/>
    </row>
    <row r="11" customFormat="false" ht="15" hidden="false" customHeight="false" outlineLevel="0" collapsed="false">
      <c r="A11" s="25" t="n">
        <v>6</v>
      </c>
      <c r="B11" s="26"/>
      <c r="C11" s="26"/>
      <c r="D11" s="26"/>
      <c r="E11" s="26"/>
      <c r="F11" s="26"/>
    </row>
    <row r="12" customFormat="false" ht="15" hidden="false" customHeight="false" outlineLevel="0" collapsed="false">
      <c r="A12" s="25" t="n">
        <v>7</v>
      </c>
      <c r="B12" s="26"/>
      <c r="C12" s="26"/>
      <c r="D12" s="26"/>
      <c r="E12" s="26"/>
      <c r="F12" s="26"/>
    </row>
    <row r="13" customFormat="false" ht="15" hidden="false" customHeight="false" outlineLevel="0" collapsed="false">
      <c r="A13" s="25" t="n">
        <v>8</v>
      </c>
      <c r="B13" s="26"/>
      <c r="C13" s="26"/>
      <c r="D13" s="26"/>
      <c r="E13" s="26"/>
      <c r="F13" s="26"/>
    </row>
    <row r="14" customFormat="false" ht="15" hidden="false" customHeight="false" outlineLevel="0" collapsed="false">
      <c r="A14" s="25" t="n">
        <v>9</v>
      </c>
      <c r="B14" s="26"/>
      <c r="C14" s="26"/>
      <c r="D14" s="26"/>
      <c r="E14" s="26"/>
      <c r="F14" s="26"/>
    </row>
    <row r="15" customFormat="false" ht="15" hidden="false" customHeight="false" outlineLevel="0" collapsed="false">
      <c r="A15" s="25" t="n">
        <v>10</v>
      </c>
      <c r="B15" s="26"/>
      <c r="C15" s="26"/>
      <c r="D15" s="26"/>
      <c r="E15" s="26"/>
      <c r="F15" s="26"/>
    </row>
    <row r="16" customFormat="false" ht="15" hidden="false" customHeight="false" outlineLevel="0" collapsed="false">
      <c r="A16" s="25" t="n">
        <v>11</v>
      </c>
      <c r="B16" s="26"/>
      <c r="C16" s="26"/>
      <c r="D16" s="26"/>
      <c r="E16" s="26"/>
      <c r="F16" s="26"/>
    </row>
    <row r="17" customFormat="false" ht="15" hidden="false" customHeight="false" outlineLevel="0" collapsed="false">
      <c r="A17" s="25" t="n">
        <v>12</v>
      </c>
      <c r="B17" s="26"/>
      <c r="C17" s="26"/>
      <c r="D17" s="26"/>
      <c r="E17" s="26"/>
      <c r="F17" s="26"/>
    </row>
    <row r="18" customFormat="false" ht="15" hidden="false" customHeight="false" outlineLevel="0" collapsed="false">
      <c r="A18" s="25" t="n">
        <v>13</v>
      </c>
      <c r="B18" s="26"/>
      <c r="C18" s="26"/>
      <c r="D18" s="26"/>
      <c r="E18" s="26"/>
      <c r="F18" s="26"/>
    </row>
    <row r="19" customFormat="false" ht="15" hidden="false" customHeight="false" outlineLevel="0" collapsed="false">
      <c r="A19" s="25" t="n">
        <v>14</v>
      </c>
      <c r="B19" s="26"/>
      <c r="C19" s="26"/>
      <c r="D19" s="26"/>
      <c r="E19" s="26"/>
      <c r="F19" s="26"/>
    </row>
    <row r="20" customFormat="false" ht="15" hidden="false" customHeight="false" outlineLevel="0" collapsed="false">
      <c r="A20" s="25" t="n">
        <v>15</v>
      </c>
      <c r="B20" s="26"/>
      <c r="C20" s="26"/>
      <c r="D20" s="26"/>
      <c r="E20" s="26"/>
      <c r="F20" s="26"/>
    </row>
  </sheetData>
  <dataValidations count="1">
    <dataValidation allowBlank="false" errorStyle="stop" operator="between" showDropDown="false" showErrorMessage="false" showInputMessage="false" sqref="E6:E2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2026-10-25T00:24:50Z</dcterms:created>
  <dc:creator>openpyxl</dc:creator>
  <dc:description/>
  <dc:language>en-US</dc:language>
  <cp:lastModifiedBy/>
  <dcterms:modified xsi:type="dcterms:W3CDTF">2026-10-25T00:24:50Z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